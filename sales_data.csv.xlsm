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d.docs.live.net/CBA85DD3B14ABD02/Documents/"/>
    </mc:Choice>
  </mc:AlternateContent>
  <xr:revisionPtr revIDLastSave="0" documentId="8_{E083D949-4065-464E-8DD5-268DBED4B94A}" xr6:coauthVersionLast="47" xr6:coauthVersionMax="47" xr10:uidLastSave="{00000000-0000-0000-0000-000000000000}"/>
  <bookViews>
    <workbookView xWindow="-108" yWindow="-108" windowWidth="23256" windowHeight="12456" firstSheet="1" activeTab="2" xr2:uid="{00000000-000D-0000-FFFF-FFFF00000000}"/>
  </bookViews>
  <sheets>
    <sheet name="sales_data" sheetId="1" r:id="rId1"/>
    <sheet name="KPI_Summary" sheetId="5" r:id="rId2"/>
    <sheet name="Sheet2" sheetId="6" r:id="rId3"/>
  </sheets>
  <definedNames>
    <definedName name="_xlnm._FilterDatabase" localSheetId="2" hidden="1">Sheet2!$D$1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5" l="1"/>
  <c r="B2" i="5"/>
  <c r="B3" i="5"/>
  <c r="B4" i="5"/>
  <c r="B5" i="5"/>
  <c r="B6" i="5"/>
</calcChain>
</file>

<file path=xl/sharedStrings.xml><?xml version="1.0" encoding="utf-8"?>
<sst xmlns="http://schemas.openxmlformats.org/spreadsheetml/2006/main" count="143" uniqueCount="98">
  <si>
    <t>Order ID</t>
  </si>
  <si>
    <t>Order Date</t>
  </si>
  <si>
    <t>Customer Name</t>
  </si>
  <si>
    <t>Region</t>
  </si>
  <si>
    <t>Category</t>
  </si>
  <si>
    <t>Sales</t>
  </si>
  <si>
    <t>Quantity</t>
  </si>
  <si>
    <t>Profit</t>
  </si>
  <si>
    <t>Discount</t>
  </si>
  <si>
    <t>CA-2023-001</t>
  </si>
  <si>
    <t>2023-01-05</t>
  </si>
  <si>
    <t>John Smith</t>
  </si>
  <si>
    <t>East</t>
  </si>
  <si>
    <t>Technology</t>
  </si>
  <si>
    <t>CA-2023-002</t>
  </si>
  <si>
    <t>2023-02-05</t>
  </si>
  <si>
    <t>Mary Johnson</t>
  </si>
  <si>
    <t>West</t>
  </si>
  <si>
    <t>Furniture</t>
  </si>
  <si>
    <t>CA-2023-004</t>
  </si>
  <si>
    <t>2023-02-10</t>
  </si>
  <si>
    <t>Alice Brown</t>
  </si>
  <si>
    <t>Office Supplies</t>
  </si>
  <si>
    <t>CA-2023-005</t>
  </si>
  <si>
    <t>2023-02-14</t>
  </si>
  <si>
    <t>Unknown</t>
  </si>
  <si>
    <t>North</t>
  </si>
  <si>
    <t>CA-2023-006</t>
  </si>
  <si>
    <t>2023-03-01</t>
  </si>
  <si>
    <t>Bob Wilson</t>
  </si>
  <si>
    <t>CA-2023-007</t>
  </si>
  <si>
    <t>2023-03-15</t>
  </si>
  <si>
    <t>South</t>
  </si>
  <si>
    <t>CA-2023-008</t>
  </si>
  <si>
    <t>2023-04-02</t>
  </si>
  <si>
    <t>David Lee</t>
  </si>
  <si>
    <t>CA-2023-009</t>
  </si>
  <si>
    <t>2023-04-18</t>
  </si>
  <si>
    <t>Emma White</t>
  </si>
  <si>
    <t>CA-2023-010</t>
  </si>
  <si>
    <t>2023-05-05</t>
  </si>
  <si>
    <t>Frank Miller</t>
  </si>
  <si>
    <t>CA-2023-011</t>
  </si>
  <si>
    <t>2023-05-20</t>
  </si>
  <si>
    <t>Grace Wilson</t>
  </si>
  <si>
    <t>CA-2023-012</t>
  </si>
  <si>
    <t>2023-06-07</t>
  </si>
  <si>
    <t>Henry Brown</t>
  </si>
  <si>
    <t>CA-2023-013</t>
  </si>
  <si>
    <t>2023-06-22</t>
  </si>
  <si>
    <t>Isla Turner</t>
  </si>
  <si>
    <t>CA-2023-014</t>
  </si>
  <si>
    <t>2023-07-09</t>
  </si>
  <si>
    <t>Jack Moore</t>
  </si>
  <si>
    <t>CA-2023-015</t>
  </si>
  <si>
    <t>2023-07-25</t>
  </si>
  <si>
    <t>Karen Hall</t>
  </si>
  <si>
    <t>CA-2023-016</t>
  </si>
  <si>
    <t>2023-08-03</t>
  </si>
  <si>
    <t>Leo Martin</t>
  </si>
  <si>
    <t>CA-2023-017</t>
  </si>
  <si>
    <t>2023-08-19</t>
  </si>
  <si>
    <t>Mia Jackson</t>
  </si>
  <si>
    <t>CA-2023-018</t>
  </si>
  <si>
    <t>2023-09-01</t>
  </si>
  <si>
    <t>Noah Garcia</t>
  </si>
  <si>
    <t>CA-2023-019</t>
  </si>
  <si>
    <t>2023-09-14</t>
  </si>
  <si>
    <t>CA-2023-020</t>
  </si>
  <si>
    <t>2023-10-02</t>
  </si>
  <si>
    <t>Olivia Adams</t>
  </si>
  <si>
    <t>CA-2023-021</t>
  </si>
  <si>
    <t>2023-10-18</t>
  </si>
  <si>
    <t>Paul Clark</t>
  </si>
  <si>
    <t>CA-2023-022</t>
  </si>
  <si>
    <t>2023-11-05</t>
  </si>
  <si>
    <t>Quinn Lewis</t>
  </si>
  <si>
    <t>CA-2023-023</t>
  </si>
  <si>
    <t>2023-11-21</t>
  </si>
  <si>
    <t>Rachel Young</t>
  </si>
  <si>
    <t>CA-2023-024</t>
  </si>
  <si>
    <t>2023-12-08</t>
  </si>
  <si>
    <t>Sam King</t>
  </si>
  <si>
    <t>CA-2023-025</t>
  </si>
  <si>
    <t>2023-12-25</t>
  </si>
  <si>
    <t>Tina Scott</t>
  </si>
  <si>
    <t>Total Sales</t>
  </si>
  <si>
    <t>Total Profit</t>
  </si>
  <si>
    <t>Total Orders</t>
  </si>
  <si>
    <t>Average Order Value</t>
  </si>
  <si>
    <t>Total Quantity Sold</t>
  </si>
  <si>
    <t>Profit Margin %</t>
  </si>
  <si>
    <t>KPI</t>
  </si>
  <si>
    <t xml:space="preserve"> Formula</t>
  </si>
  <si>
    <t>Row Labels</t>
  </si>
  <si>
    <t>Grand Total</t>
  </si>
  <si>
    <t>alice Brown</t>
  </si>
  <si>
    <t>Sum of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</si>
</sst>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sz val="10"/>
      <name val="Arial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 Unicode MS"/>
    </font>
    <font>
      <b/>
      <sz val="11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375623"/>
      </patternFill>
    </fill>
    <fill>
      <patternFill patternType="solid">
        <fgColor rgb="FFEBF3FB"/>
      </patternFill>
    </fill>
    <fill>
      <patternFill patternType="solid">
        <fgColor rgb="FF1F4E79"/>
      </patternFill>
    </fill>
    <fill>
      <patternFill patternType="solid">
        <fgColor rgb="FFD9E1F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0" xfId="0" applyFont="1" applyFill="1"/>
    <xf numFmtId="0" fontId="2" fillId="0" borderId="0" xfId="0" applyFont="1"/>
    <xf numFmtId="2" fontId="1" fillId="2" borderId="0" xfId="0" applyNumberFormat="1" applyFont="1" applyFill="1" applyAlignment="1">
      <alignment horizontal="center"/>
    </xf>
    <xf numFmtId="2" fontId="2" fillId="3" borderId="0" xfId="0" applyNumberFormat="1" applyFont="1" applyFill="1"/>
    <xf numFmtId="2" fontId="2" fillId="0" borderId="0" xfId="0" applyNumberFormat="1" applyFont="1"/>
    <xf numFmtId="2" fontId="0" fillId="0" borderId="0" xfId="0" applyNumberFormat="1"/>
    <xf numFmtId="0" fontId="4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4" borderId="0" xfId="0" applyFont="1" applyFill="1" applyAlignment="1">
      <alignment horizontal="center"/>
    </xf>
    <xf numFmtId="0" fontId="4" fillId="5" borderId="0" xfId="0" applyFont="1" applyFill="1"/>
    <xf numFmtId="2" fontId="4" fillId="0" borderId="0" xfId="0" applyNumberFormat="1" applyFont="1"/>
    <xf numFmtId="2" fontId="4" fillId="5" borderId="0" xfId="0" applyNumberFormat="1" applyFont="1" applyFill="1"/>
    <xf numFmtId="0" fontId="4" fillId="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6" fillId="2" borderId="0" xfId="0" applyFont="1" applyFill="1" applyAlignment="1">
      <alignment horizontal="center"/>
    </xf>
  </cellXfs>
  <cellStyles count="1">
    <cellStyle name="Normal" xfId="0" builtinId="0"/>
  </cellStyles>
  <dxfs count="12"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scheme val="none"/>
      </font>
      <numFmt numFmtId="2" formatCode="0.00"/>
      <fill>
        <patternFill patternType="solid">
          <fgColor indexed="64"/>
          <bgColor rgb="FF375623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[sales_data.csv.xlsm]Sheet2!PivotTable1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Sheet2!$A$4:$A$7</c:f>
              <c:strCache>
                <c:ptCount val="3"/>
                <c:pt idx="0">
                  <c:v>Technology</c:v>
                </c:pt>
                <c:pt idx="1">
                  <c:v>Furniture</c:v>
                </c:pt>
                <c:pt idx="2">
                  <c:v>Office Supplies</c:v>
                </c:pt>
              </c:strCache>
            </c:strRef>
          </c:cat>
          <c:val>
            <c:numRef>
              <c:f>Sheet2!$B$4:$B$7</c:f>
              <c:numCache>
                <c:formatCode>0.00</c:formatCode>
                <c:ptCount val="3"/>
                <c:pt idx="0">
                  <c:v>1350.5</c:v>
                </c:pt>
                <c:pt idx="1">
                  <c:v>320</c:v>
                </c:pt>
                <c:pt idx="2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B3-47AE-995C-17CE42D0A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9786095"/>
        <c:axId val="929787055"/>
      </c:barChart>
      <c:catAx>
        <c:axId val="929786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87055"/>
        <c:crosses val="autoZero"/>
        <c:auto val="1"/>
        <c:lblAlgn val="ctr"/>
        <c:lblOffset val="100"/>
        <c:noMultiLvlLbl val="0"/>
      </c:catAx>
      <c:valAx>
        <c:axId val="92978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86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316673</xdr:colOff>
      <xdr:row>2</xdr:row>
      <xdr:rowOff>147350</xdr:rowOff>
    </xdr:from>
    <xdr:to>
      <xdr:col>12</xdr:col>
      <xdr:colOff>200601</xdr:colOff>
      <xdr:row>17</xdr:row>
      <xdr:rowOff>147350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116E7E-0FBF-F101-9958-F63C1C8F4C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sales_data.csv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.Naresh Kumar" refreshedDate="46177.883832754633" createdVersion="8" refreshedVersion="8" minRefreshableVersion="3" recordCount="24" xr:uid="{FD48C6B2-ED33-4549-B017-E807445C70F6}">
  <cacheSource type="worksheet">
    <worksheetSource ref="A1:I25" sheet="sales_data" r:id="rId2"/>
  </cacheSource>
  <cacheFields count="9">
    <cacheField name="Order ID" numFmtId="0">
      <sharedItems/>
    </cacheField>
    <cacheField name="Order Date" numFmtId="0">
      <sharedItems count="24">
        <s v="2023-01-05"/>
        <s v="2023-02-05"/>
        <s v="2023-02-10"/>
        <s v="2023-02-14"/>
        <s v="2023-03-01"/>
        <s v="2023-03-15"/>
        <s v="2023-04-02"/>
        <s v="2023-04-18"/>
        <s v="2023-05-05"/>
        <s v="2023-05-20"/>
        <s v="2023-06-07"/>
        <s v="2023-06-22"/>
        <s v="2023-07-09"/>
        <s v="2023-07-25"/>
        <s v="2023-08-03"/>
        <s v="2023-08-19"/>
        <s v="2023-09-01"/>
        <s v="2023-09-14"/>
        <s v="2023-10-02"/>
        <s v="2023-10-18"/>
        <s v="2023-11-05"/>
        <s v="2023-11-21"/>
        <s v="2023-12-08"/>
        <s v="2023-12-25"/>
      </sharedItems>
    </cacheField>
    <cacheField name="Customer Name" numFmtId="0">
      <sharedItems count="23">
        <s v="John Smith"/>
        <s v="Mary Johnson"/>
        <s v="Alice Brown"/>
        <s v="Unknown"/>
        <s v="Bob Wilson"/>
        <s v="Carol Davis"/>
        <s v="David Lee"/>
        <s v="Emma White"/>
        <s v="Frank Miller"/>
        <s v="Grace Wilson"/>
        <s v="Henry Brown"/>
        <s v="Isla Turner"/>
        <s v="Jack Moore"/>
        <s v="Karen Hall"/>
        <s v="Leo Martin"/>
        <s v="Mia Jackson"/>
        <s v="Noah Garcia"/>
        <s v="Olivia Adams"/>
        <s v="Paul Clark"/>
        <s v="Quinn Lewis"/>
        <s v="Rachel Young"/>
        <s v="Sam King"/>
        <s v="Tina Scott"/>
      </sharedItems>
    </cacheField>
    <cacheField name="Region" numFmtId="0">
      <sharedItems count="4">
        <s v="East"/>
        <s v="West"/>
        <s v="North"/>
        <s v="South"/>
      </sharedItems>
    </cacheField>
    <cacheField name="Category" numFmtId="0">
      <sharedItems count="3">
        <s v="Technology"/>
        <s v="Furniture"/>
        <s v="Office Supplies"/>
      </sharedItems>
    </cacheField>
    <cacheField name="Sales" numFmtId="2">
      <sharedItems containsSemiMixedTypes="0" containsString="0" containsNumber="1" minValue="45" maxValue="3200"/>
    </cacheField>
    <cacheField name="Quantity" numFmtId="0">
      <sharedItems containsSemiMixedTypes="0" containsString="0" containsNumber="1" containsInteger="1" minValue="1" maxValue="12"/>
    </cacheField>
    <cacheField name="Profit" numFmtId="2">
      <sharedItems containsSemiMixedTypes="0" containsString="0" containsNumber="1" minValue="-120" maxValue="400"/>
    </cacheField>
    <cacheField name="Discount" numFmtId="2">
      <sharedItems containsSemiMixedTypes="0" containsString="0" containsNumber="1" minValue="0" maxValue="0.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s v="CA-2023-001"/>
    <x v="0"/>
    <x v="0"/>
    <x v="0"/>
    <x v="0"/>
    <n v="450"/>
    <n v="2"/>
    <n v="120.5"/>
    <n v="0.1"/>
  </r>
  <r>
    <s v="CA-2023-002"/>
    <x v="1"/>
    <x v="1"/>
    <x v="1"/>
    <x v="1"/>
    <n v="899.99"/>
    <n v="1"/>
    <n v="-45"/>
    <n v="0.2"/>
  </r>
  <r>
    <s v="CA-2023-004"/>
    <x v="2"/>
    <x v="2"/>
    <x v="1"/>
    <x v="2"/>
    <n v="120"/>
    <n v="5"/>
    <n v="40"/>
    <n v="0"/>
  </r>
  <r>
    <s v="CA-2023-005"/>
    <x v="3"/>
    <x v="3"/>
    <x v="2"/>
    <x v="0"/>
    <n v="320"/>
    <n v="1"/>
    <n v="80"/>
    <n v="0.15"/>
  </r>
  <r>
    <s v="CA-2023-006"/>
    <x v="4"/>
    <x v="4"/>
    <x v="0"/>
    <x v="1"/>
    <n v="1500"/>
    <n v="3"/>
    <n v="0"/>
    <n v="0.05"/>
  </r>
  <r>
    <s v="CA-2023-007"/>
    <x v="5"/>
    <x v="5"/>
    <x v="3"/>
    <x v="2"/>
    <n v="75"/>
    <n v="10"/>
    <n v="25"/>
    <n v="0"/>
  </r>
  <r>
    <s v="CA-2023-008"/>
    <x v="6"/>
    <x v="6"/>
    <x v="0"/>
    <x v="0"/>
    <n v="550"/>
    <n v="2"/>
    <n v="140"/>
    <n v="0.1"/>
  </r>
  <r>
    <s v="CA-2023-009"/>
    <x v="7"/>
    <x v="7"/>
    <x v="3"/>
    <x v="1"/>
    <n v="670"/>
    <n v="1"/>
    <n v="90"/>
    <n v="0.2"/>
  </r>
  <r>
    <s v="CA-2023-010"/>
    <x v="8"/>
    <x v="8"/>
    <x v="1"/>
    <x v="0"/>
    <n v="980"/>
    <n v="4"/>
    <n v="210"/>
    <n v="0"/>
  </r>
  <r>
    <s v="CA-2023-011"/>
    <x v="9"/>
    <x v="9"/>
    <x v="0"/>
    <x v="2"/>
    <n v="45"/>
    <n v="8"/>
    <n v="15"/>
    <n v="0"/>
  </r>
  <r>
    <s v="CA-2023-012"/>
    <x v="10"/>
    <x v="10"/>
    <x v="1"/>
    <x v="1"/>
    <n v="2200"/>
    <n v="2"/>
    <n v="-120"/>
    <n v="0.3"/>
  </r>
  <r>
    <s v="CA-2023-013"/>
    <x v="11"/>
    <x v="11"/>
    <x v="3"/>
    <x v="0"/>
    <n v="760"/>
    <n v="3"/>
    <n v="195"/>
    <n v="0.1"/>
  </r>
  <r>
    <s v="CA-2023-014"/>
    <x v="12"/>
    <x v="12"/>
    <x v="2"/>
    <x v="2"/>
    <n v="88"/>
    <n v="6"/>
    <n v="30"/>
    <n v="0.05"/>
  </r>
  <r>
    <s v="CA-2023-015"/>
    <x v="13"/>
    <x v="13"/>
    <x v="1"/>
    <x v="1"/>
    <n v="1100"/>
    <n v="1"/>
    <n v="0"/>
    <n v="0.1"/>
  </r>
  <r>
    <s v="CA-2023-016"/>
    <x v="14"/>
    <x v="14"/>
    <x v="3"/>
    <x v="0"/>
    <n v="430"/>
    <n v="2"/>
    <n v="95"/>
    <n v="0"/>
  </r>
  <r>
    <s v="CA-2023-017"/>
    <x v="15"/>
    <x v="15"/>
    <x v="0"/>
    <x v="2"/>
    <n v="60"/>
    <n v="12"/>
    <n v="20"/>
    <n v="0"/>
  </r>
  <r>
    <s v="CA-2023-018"/>
    <x v="16"/>
    <x v="16"/>
    <x v="1"/>
    <x v="1"/>
    <n v="3200"/>
    <n v="5"/>
    <n v="400"/>
    <n v="0.15"/>
  </r>
  <r>
    <s v="CA-2023-019"/>
    <x v="17"/>
    <x v="3"/>
    <x v="2"/>
    <x v="0"/>
    <n v="510"/>
    <n v="2"/>
    <n v="130"/>
    <n v="0.1"/>
  </r>
  <r>
    <s v="CA-2023-020"/>
    <x v="18"/>
    <x v="17"/>
    <x v="3"/>
    <x v="2"/>
    <n v="95"/>
    <n v="7"/>
    <n v="35"/>
    <n v="0"/>
  </r>
  <r>
    <s v="CA-2023-021"/>
    <x v="19"/>
    <x v="18"/>
    <x v="0"/>
    <x v="0"/>
    <n v="870"/>
    <n v="3"/>
    <n v="220"/>
    <n v="0.2"/>
  </r>
  <r>
    <s v="CA-2023-022"/>
    <x v="20"/>
    <x v="19"/>
    <x v="1"/>
    <x v="1"/>
    <n v="1750"/>
    <n v="2"/>
    <n v="-80"/>
    <n v="0.25"/>
  </r>
  <r>
    <s v="CA-2023-023"/>
    <x v="21"/>
    <x v="20"/>
    <x v="3"/>
    <x v="0"/>
    <n v="640"/>
    <n v="1"/>
    <n v="160"/>
    <n v="0"/>
  </r>
  <r>
    <s v="CA-2023-024"/>
    <x v="22"/>
    <x v="21"/>
    <x v="2"/>
    <x v="2"/>
    <n v="110"/>
    <n v="9"/>
    <n v="42"/>
    <n v="0.05"/>
  </r>
  <r>
    <s v="CA-2023-025"/>
    <x v="23"/>
    <x v="22"/>
    <x v="0"/>
    <x v="1"/>
    <n v="920"/>
    <n v="1"/>
    <n v="75"/>
    <n v="0.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05676D-2C29-440C-8E43-F39AB6BAEB6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7" firstHeaderRow="1" firstDataRow="1" firstDataCol="1"/>
  <pivotFields count="9">
    <pivotField showAll="0"/>
    <pivotField multipleItemSelectionAllowed="1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>
      <items count="24">
        <item x="2"/>
        <item x="4"/>
        <item x="5"/>
        <item x="6"/>
        <item x="7"/>
        <item x="8"/>
        <item x="9"/>
        <item x="10"/>
        <item x="11"/>
        <item x="12"/>
        <item x="0"/>
        <item x="13"/>
        <item x="14"/>
        <item x="1"/>
        <item x="15"/>
        <item x="16"/>
        <item x="17"/>
        <item x="18"/>
        <item x="19"/>
        <item x="20"/>
        <item x="21"/>
        <item x="22"/>
        <item x="3"/>
        <item t="default"/>
      </items>
    </pivotField>
    <pivotField showAll="0">
      <items count="5">
        <item x="0"/>
        <item x="2"/>
        <item x="3"/>
        <item x="1"/>
        <item t="default"/>
      </items>
    </pivotField>
    <pivotField axis="axisRow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" showAll="0"/>
    <pivotField showAll="0"/>
    <pivotField dataField="1" numFmtId="2" showAll="0"/>
    <pivotField numFmtId="2" showAll="0"/>
  </pivotFields>
  <rowFields count="1">
    <field x="4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Sum of Profit" fld="7" baseField="0" baseItem="0" numFmtId="2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418FAF-3FF3-4756-9803-0990A88AF200}" name="Table1" displayName="Table1" ref="A1:I25" totalsRowShown="0" headerRowDxfId="11" dataDxfId="10">
  <autoFilter ref="A1:I25" xr:uid="{87418FAF-3FF3-4756-9803-0990A88AF200}"/>
  <tableColumns count="9">
    <tableColumn id="1" xr3:uid="{AE27F32B-B77B-4388-A781-725020095FD3}" name="Order ID" dataDxfId="9"/>
    <tableColumn id="2" xr3:uid="{6D162442-4EF7-44DD-8925-4C89FEC0D085}" name="Order Date" dataDxfId="8"/>
    <tableColumn id="3" xr3:uid="{6C3ACA21-1CA7-4BE1-A5F2-3302926C6D8D}" name="Customer Name" dataDxfId="7"/>
    <tableColumn id="4" xr3:uid="{8909ABBD-224D-4CF8-A01E-BBE47355E3DA}" name="Region" dataDxfId="6"/>
    <tableColumn id="5" xr3:uid="{842A7E55-0486-4AFC-86F0-F8C13AA27B1C}" name="Category" dataDxfId="5"/>
    <tableColumn id="6" xr3:uid="{62704CA5-7187-4D51-A6F5-2B91BB34F4B7}" name="Sales" dataDxfId="4"/>
    <tableColumn id="7" xr3:uid="{199E39C9-8F57-48C1-8BC6-984A37183748}" name="Quantity" dataDxfId="3"/>
    <tableColumn id="8" xr3:uid="{5AE04535-967F-4567-9308-55F4D530F476}" name="Profit" dataDxfId="2"/>
    <tableColumn id="9" xr3:uid="{C9AAE775-6645-4CC8-99AE-B4AB6CB7E672}" name="Discount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5"/>
  <sheetViews>
    <sheetView topLeftCell="C1" workbookViewId="0">
      <selection activeCell="K3" sqref="K3"/>
    </sheetView>
  </sheetViews>
  <sheetFormatPr defaultRowHeight="14.4"/>
  <cols>
    <col min="1" max="2" width="14" customWidth="1"/>
    <col min="3" max="3" width="18.6640625" customWidth="1"/>
    <col min="4" max="4" width="10" customWidth="1"/>
    <col min="5" max="5" width="18" customWidth="1"/>
    <col min="6" max="6" width="10" style="7" customWidth="1"/>
    <col min="7" max="7" width="11.109375" customWidth="1"/>
    <col min="8" max="8" width="10" style="7" customWidth="1"/>
    <col min="9" max="9" width="11.44140625" style="7" customWidth="1"/>
  </cols>
  <sheetData>
    <row r="1" spans="1:9">
      <c r="A1" s="1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4" t="s">
        <v>5</v>
      </c>
      <c r="G1" s="1" t="s">
        <v>6</v>
      </c>
      <c r="H1" s="4" t="s">
        <v>7</v>
      </c>
      <c r="I1" s="4" t="s">
        <v>8</v>
      </c>
    </row>
    <row r="2" spans="1:9">
      <c r="A2" s="2" t="s">
        <v>9</v>
      </c>
      <c r="B2" s="2" t="s">
        <v>10</v>
      </c>
      <c r="C2" s="16" t="s">
        <v>11</v>
      </c>
      <c r="D2" s="2" t="s">
        <v>12</v>
      </c>
      <c r="E2" s="2" t="s">
        <v>13</v>
      </c>
      <c r="F2" s="5">
        <v>450</v>
      </c>
      <c r="G2" s="2">
        <v>2</v>
      </c>
      <c r="H2" s="5">
        <v>120.5</v>
      </c>
      <c r="I2" s="5">
        <v>0.1</v>
      </c>
    </row>
    <row r="3" spans="1:9">
      <c r="A3" s="3" t="s">
        <v>14</v>
      </c>
      <c r="B3" s="3" t="s">
        <v>15</v>
      </c>
      <c r="C3" s="3" t="s">
        <v>16</v>
      </c>
      <c r="D3" s="3" t="s">
        <v>17</v>
      </c>
      <c r="E3" s="3" t="s">
        <v>18</v>
      </c>
      <c r="F3" s="6">
        <v>899.99</v>
      </c>
      <c r="G3" s="3">
        <v>1</v>
      </c>
      <c r="H3" s="6">
        <v>-45</v>
      </c>
      <c r="I3" s="6">
        <v>0.2</v>
      </c>
    </row>
    <row r="4" spans="1:9">
      <c r="A4" s="2" t="s">
        <v>19</v>
      </c>
      <c r="B4" s="2" t="s">
        <v>20</v>
      </c>
      <c r="C4" s="2" t="s">
        <v>21</v>
      </c>
      <c r="D4" s="2" t="s">
        <v>17</v>
      </c>
      <c r="E4" s="2" t="s">
        <v>22</v>
      </c>
      <c r="F4" s="5">
        <v>120</v>
      </c>
      <c r="G4" s="2">
        <v>5</v>
      </c>
      <c r="H4" s="5">
        <v>40</v>
      </c>
      <c r="I4" s="5">
        <v>0</v>
      </c>
    </row>
    <row r="5" spans="1:9">
      <c r="A5" s="3" t="s">
        <v>23</v>
      </c>
      <c r="B5" s="3" t="s">
        <v>24</v>
      </c>
      <c r="C5" s="3" t="s">
        <v>25</v>
      </c>
      <c r="D5" s="3" t="s">
        <v>26</v>
      </c>
      <c r="E5" s="3" t="s">
        <v>13</v>
      </c>
      <c r="F5" s="6">
        <v>320</v>
      </c>
      <c r="G5" s="3">
        <v>1</v>
      </c>
      <c r="H5" s="6">
        <v>80</v>
      </c>
      <c r="I5" s="6">
        <v>0.15</v>
      </c>
    </row>
    <row r="6" spans="1:9">
      <c r="A6" s="2" t="s">
        <v>27</v>
      </c>
      <c r="B6" s="2" t="s">
        <v>28</v>
      </c>
      <c r="C6" s="2" t="s">
        <v>29</v>
      </c>
      <c r="D6" s="2" t="s">
        <v>12</v>
      </c>
      <c r="E6" s="2" t="s">
        <v>18</v>
      </c>
      <c r="F6" s="5">
        <v>1500</v>
      </c>
      <c r="G6" s="2">
        <v>3</v>
      </c>
      <c r="H6" s="5">
        <v>0</v>
      </c>
      <c r="I6" s="5">
        <v>0.05</v>
      </c>
    </row>
    <row r="7" spans="1:9">
      <c r="A7" s="3" t="s">
        <v>30</v>
      </c>
      <c r="B7" s="3" t="s">
        <v>31</v>
      </c>
      <c r="C7" s="8" t="s">
        <v>96</v>
      </c>
      <c r="D7" s="3" t="s">
        <v>32</v>
      </c>
      <c r="E7" s="3" t="s">
        <v>22</v>
      </c>
      <c r="F7" s="6">
        <v>75</v>
      </c>
      <c r="G7" s="3">
        <v>10</v>
      </c>
      <c r="H7" s="6">
        <v>25</v>
      </c>
      <c r="I7" s="6">
        <v>0</v>
      </c>
    </row>
    <row r="8" spans="1:9">
      <c r="A8" s="2" t="s">
        <v>33</v>
      </c>
      <c r="B8" s="2" t="s">
        <v>34</v>
      </c>
      <c r="C8" s="2" t="s">
        <v>35</v>
      </c>
      <c r="D8" s="2" t="s">
        <v>12</v>
      </c>
      <c r="E8" s="2" t="s">
        <v>13</v>
      </c>
      <c r="F8" s="5">
        <v>550</v>
      </c>
      <c r="G8" s="2">
        <v>2</v>
      </c>
      <c r="H8" s="5">
        <v>140</v>
      </c>
      <c r="I8" s="5">
        <v>0.1</v>
      </c>
    </row>
    <row r="9" spans="1:9">
      <c r="A9" s="3" t="s">
        <v>36</v>
      </c>
      <c r="B9" s="3" t="s">
        <v>37</v>
      </c>
      <c r="C9" s="3" t="s">
        <v>38</v>
      </c>
      <c r="D9" s="8" t="s">
        <v>32</v>
      </c>
      <c r="E9" s="3" t="s">
        <v>18</v>
      </c>
      <c r="F9" s="6">
        <v>670</v>
      </c>
      <c r="G9" s="3">
        <v>1</v>
      </c>
      <c r="H9" s="6">
        <v>90</v>
      </c>
      <c r="I9" s="6">
        <v>0.2</v>
      </c>
    </row>
    <row r="10" spans="1:9">
      <c r="A10" s="2" t="s">
        <v>39</v>
      </c>
      <c r="B10" s="2" t="s">
        <v>40</v>
      </c>
      <c r="C10" s="2" t="s">
        <v>41</v>
      </c>
      <c r="D10" s="2" t="s">
        <v>17</v>
      </c>
      <c r="E10" s="2" t="s">
        <v>13</v>
      </c>
      <c r="F10" s="5">
        <v>980</v>
      </c>
      <c r="G10" s="2">
        <v>4</v>
      </c>
      <c r="H10" s="5">
        <v>210</v>
      </c>
      <c r="I10" s="5">
        <v>0</v>
      </c>
    </row>
    <row r="11" spans="1:9">
      <c r="A11" s="3" t="s">
        <v>42</v>
      </c>
      <c r="B11" s="3" t="s">
        <v>43</v>
      </c>
      <c r="C11" s="3" t="s">
        <v>44</v>
      </c>
      <c r="D11" s="3" t="s">
        <v>12</v>
      </c>
      <c r="E11" s="3" t="s">
        <v>22</v>
      </c>
      <c r="F11" s="6">
        <v>45</v>
      </c>
      <c r="G11" s="3">
        <v>8</v>
      </c>
      <c r="H11" s="6">
        <v>15</v>
      </c>
      <c r="I11" s="6">
        <v>0</v>
      </c>
    </row>
    <row r="12" spans="1:9">
      <c r="A12" s="2" t="s">
        <v>45</v>
      </c>
      <c r="B12" s="2" t="s">
        <v>46</v>
      </c>
      <c r="C12" s="2" t="s">
        <v>47</v>
      </c>
      <c r="D12" s="2" t="s">
        <v>17</v>
      </c>
      <c r="E12" s="2" t="s">
        <v>18</v>
      </c>
      <c r="F12" s="5">
        <v>2200</v>
      </c>
      <c r="G12" s="2">
        <v>2</v>
      </c>
      <c r="H12" s="5">
        <v>-120</v>
      </c>
      <c r="I12" s="5">
        <v>0.3</v>
      </c>
    </row>
    <row r="13" spans="1:9">
      <c r="A13" s="3" t="s">
        <v>48</v>
      </c>
      <c r="B13" s="3" t="s">
        <v>49</v>
      </c>
      <c r="C13" s="3" t="s">
        <v>50</v>
      </c>
      <c r="D13" s="3" t="s">
        <v>32</v>
      </c>
      <c r="E13" s="3" t="s">
        <v>13</v>
      </c>
      <c r="F13" s="6">
        <v>760</v>
      </c>
      <c r="G13" s="3">
        <v>3</v>
      </c>
      <c r="H13" s="6">
        <v>195</v>
      </c>
      <c r="I13" s="6">
        <v>0.1</v>
      </c>
    </row>
    <row r="14" spans="1:9">
      <c r="A14" s="2" t="s">
        <v>51</v>
      </c>
      <c r="B14" s="2" t="s">
        <v>52</v>
      </c>
      <c r="C14" s="2" t="s">
        <v>53</v>
      </c>
      <c r="D14" s="2" t="s">
        <v>26</v>
      </c>
      <c r="E14" s="2" t="s">
        <v>22</v>
      </c>
      <c r="F14" s="5">
        <v>88</v>
      </c>
      <c r="G14" s="2">
        <v>6</v>
      </c>
      <c r="H14" s="5">
        <v>30</v>
      </c>
      <c r="I14" s="5">
        <v>0.05</v>
      </c>
    </row>
    <row r="15" spans="1:9">
      <c r="A15" s="3" t="s">
        <v>54</v>
      </c>
      <c r="B15" s="3" t="s">
        <v>55</v>
      </c>
      <c r="C15" s="3" t="s">
        <v>56</v>
      </c>
      <c r="D15" s="3" t="s">
        <v>17</v>
      </c>
      <c r="E15" s="3" t="s">
        <v>18</v>
      </c>
      <c r="F15" s="6">
        <v>1100</v>
      </c>
      <c r="G15" s="3">
        <v>1</v>
      </c>
      <c r="H15" s="6">
        <v>0</v>
      </c>
      <c r="I15" s="6">
        <v>0.1</v>
      </c>
    </row>
    <row r="16" spans="1:9">
      <c r="A16" s="2" t="s">
        <v>57</v>
      </c>
      <c r="B16" s="2" t="s">
        <v>58</v>
      </c>
      <c r="C16" s="2" t="s">
        <v>59</v>
      </c>
      <c r="D16" s="2" t="s">
        <v>32</v>
      </c>
      <c r="E16" s="2" t="s">
        <v>13</v>
      </c>
      <c r="F16" s="5">
        <v>430</v>
      </c>
      <c r="G16" s="2">
        <v>2</v>
      </c>
      <c r="H16" s="5">
        <v>95</v>
      </c>
      <c r="I16" s="5">
        <v>0</v>
      </c>
    </row>
    <row r="17" spans="1:9">
      <c r="A17" s="3" t="s">
        <v>60</v>
      </c>
      <c r="B17" s="3" t="s">
        <v>61</v>
      </c>
      <c r="C17" s="3" t="s">
        <v>62</v>
      </c>
      <c r="D17" s="3" t="s">
        <v>12</v>
      </c>
      <c r="E17" s="3" t="s">
        <v>22</v>
      </c>
      <c r="F17" s="6">
        <v>60</v>
      </c>
      <c r="G17" s="3">
        <v>12</v>
      </c>
      <c r="H17" s="6">
        <v>20</v>
      </c>
      <c r="I17" s="6">
        <v>0</v>
      </c>
    </row>
    <row r="18" spans="1:9">
      <c r="A18" s="2" t="s">
        <v>63</v>
      </c>
      <c r="B18" s="2" t="s">
        <v>64</v>
      </c>
      <c r="C18" s="2" t="s">
        <v>65</v>
      </c>
      <c r="D18" s="2" t="s">
        <v>17</v>
      </c>
      <c r="E18" s="2" t="s">
        <v>18</v>
      </c>
      <c r="F18" s="5">
        <v>3200</v>
      </c>
      <c r="G18" s="2">
        <v>5</v>
      </c>
      <c r="H18" s="5">
        <v>400</v>
      </c>
      <c r="I18" s="5">
        <v>0.15</v>
      </c>
    </row>
    <row r="19" spans="1:9">
      <c r="A19" s="3" t="s">
        <v>66</v>
      </c>
      <c r="B19" s="3" t="s">
        <v>67</v>
      </c>
      <c r="C19" s="3" t="s">
        <v>25</v>
      </c>
      <c r="D19" s="3" t="s">
        <v>26</v>
      </c>
      <c r="E19" s="3" t="s">
        <v>13</v>
      </c>
      <c r="F19" s="6">
        <v>510</v>
      </c>
      <c r="G19" s="3">
        <v>2</v>
      </c>
      <c r="H19" s="6">
        <v>130</v>
      </c>
      <c r="I19" s="6">
        <v>0.1</v>
      </c>
    </row>
    <row r="20" spans="1:9">
      <c r="A20" s="2" t="s">
        <v>68</v>
      </c>
      <c r="B20" s="2" t="s">
        <v>69</v>
      </c>
      <c r="C20" s="2" t="s">
        <v>70</v>
      </c>
      <c r="D20" s="2" t="s">
        <v>32</v>
      </c>
      <c r="E20" s="2" t="s">
        <v>22</v>
      </c>
      <c r="F20" s="5">
        <v>95</v>
      </c>
      <c r="G20" s="2">
        <v>7</v>
      </c>
      <c r="H20" s="5">
        <v>35</v>
      </c>
      <c r="I20" s="5">
        <v>0</v>
      </c>
    </row>
    <row r="21" spans="1:9">
      <c r="A21" s="3" t="s">
        <v>71</v>
      </c>
      <c r="B21" s="3" t="s">
        <v>72</v>
      </c>
      <c r="C21" s="3" t="s">
        <v>73</v>
      </c>
      <c r="D21" s="3" t="s">
        <v>12</v>
      </c>
      <c r="E21" s="3" t="s">
        <v>13</v>
      </c>
      <c r="F21" s="6">
        <v>870</v>
      </c>
      <c r="G21" s="3">
        <v>3</v>
      </c>
      <c r="H21" s="6">
        <v>220</v>
      </c>
      <c r="I21" s="6">
        <v>0.2</v>
      </c>
    </row>
    <row r="22" spans="1:9">
      <c r="A22" s="2" t="s">
        <v>74</v>
      </c>
      <c r="B22" s="2" t="s">
        <v>75</v>
      </c>
      <c r="C22" s="2" t="s">
        <v>76</v>
      </c>
      <c r="D22" s="2" t="s">
        <v>17</v>
      </c>
      <c r="E22" s="2" t="s">
        <v>18</v>
      </c>
      <c r="F22" s="5">
        <v>1750</v>
      </c>
      <c r="G22" s="2">
        <v>2</v>
      </c>
      <c r="H22" s="5">
        <v>-80</v>
      </c>
      <c r="I22" s="5">
        <v>0.25</v>
      </c>
    </row>
    <row r="23" spans="1:9">
      <c r="A23" s="3" t="s">
        <v>77</v>
      </c>
      <c r="B23" s="3" t="s">
        <v>78</v>
      </c>
      <c r="C23" s="3" t="s">
        <v>79</v>
      </c>
      <c r="D23" s="3" t="s">
        <v>32</v>
      </c>
      <c r="E23" s="3" t="s">
        <v>13</v>
      </c>
      <c r="F23" s="6">
        <v>640</v>
      </c>
      <c r="G23" s="3">
        <v>1</v>
      </c>
      <c r="H23" s="6">
        <v>160</v>
      </c>
      <c r="I23" s="6">
        <v>0</v>
      </c>
    </row>
    <row r="24" spans="1:9">
      <c r="A24" s="2" t="s">
        <v>80</v>
      </c>
      <c r="B24" s="2" t="s">
        <v>81</v>
      </c>
      <c r="C24" s="2" t="s">
        <v>82</v>
      </c>
      <c r="D24" s="2" t="s">
        <v>26</v>
      </c>
      <c r="E24" s="2" t="s">
        <v>22</v>
      </c>
      <c r="F24" s="5">
        <v>110</v>
      </c>
      <c r="G24" s="2">
        <v>9</v>
      </c>
      <c r="H24" s="5">
        <v>42</v>
      </c>
      <c r="I24" s="5">
        <v>0.05</v>
      </c>
    </row>
    <row r="25" spans="1:9">
      <c r="A25" s="3" t="s">
        <v>83</v>
      </c>
      <c r="B25" s="3" t="s">
        <v>84</v>
      </c>
      <c r="C25" s="3" t="s">
        <v>85</v>
      </c>
      <c r="D25" s="3" t="s">
        <v>12</v>
      </c>
      <c r="E25" s="3" t="s">
        <v>18</v>
      </c>
      <c r="F25" s="6">
        <v>920</v>
      </c>
      <c r="G25" s="3">
        <v>1</v>
      </c>
      <c r="H25" s="6">
        <v>75</v>
      </c>
      <c r="I25" s="6">
        <v>0.1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AE2E9-D67F-48F9-B8B8-C45C683BBC80}">
  <dimension ref="A1:E7"/>
  <sheetViews>
    <sheetView workbookViewId="0">
      <selection activeCell="B15" sqref="B15"/>
    </sheetView>
  </sheetViews>
  <sheetFormatPr defaultRowHeight="14.4"/>
  <cols>
    <col min="1" max="1" width="26.21875" customWidth="1"/>
    <col min="2" max="2" width="12.109375" customWidth="1"/>
  </cols>
  <sheetData>
    <row r="1" spans="1:5" ht="21" customHeight="1">
      <c r="A1" s="12" t="s">
        <v>92</v>
      </c>
      <c r="B1" s="12" t="s">
        <v>93</v>
      </c>
      <c r="C1" s="12"/>
      <c r="D1" s="9"/>
      <c r="E1" s="9"/>
    </row>
    <row r="2" spans="1:5">
      <c r="A2" s="8" t="s">
        <v>86</v>
      </c>
      <c r="B2" s="14">
        <f>SUM(sales_data!F2:F25)</f>
        <v>18342.989999999998</v>
      </c>
      <c r="C2" s="8"/>
      <c r="D2" s="11"/>
      <c r="E2" s="10"/>
    </row>
    <row r="3" spans="1:5">
      <c r="A3" s="13" t="s">
        <v>87</v>
      </c>
      <c r="B3" s="15">
        <f>SUM(sales_data!H2:H25)</f>
        <v>1877.5</v>
      </c>
      <c r="C3" s="13"/>
      <c r="D3" s="11"/>
      <c r="E3" s="10"/>
    </row>
    <row r="4" spans="1:5">
      <c r="A4" s="8" t="s">
        <v>88</v>
      </c>
      <c r="B4" s="8">
        <f>COUNT(sales_data!F2:F25)</f>
        <v>24</v>
      </c>
      <c r="C4" s="8"/>
      <c r="D4" s="11"/>
      <c r="E4" s="10"/>
    </row>
    <row r="5" spans="1:5">
      <c r="A5" s="13" t="s">
        <v>89</v>
      </c>
      <c r="B5" s="15">
        <f>AVERAGE(sales_data!F2:F25)</f>
        <v>764.29124999999988</v>
      </c>
      <c r="C5" s="13"/>
      <c r="D5" s="11"/>
      <c r="E5" s="10"/>
    </row>
    <row r="6" spans="1:5">
      <c r="A6" s="8" t="s">
        <v>90</v>
      </c>
      <c r="B6" s="8">
        <f>SUM(sales_data!G2:G25)</f>
        <v>93</v>
      </c>
      <c r="C6" s="8"/>
      <c r="D6" s="11"/>
      <c r="E6" s="10"/>
    </row>
    <row r="7" spans="1:5">
      <c r="A7" s="13" t="s">
        <v>91</v>
      </c>
      <c r="B7" s="13">
        <f>B6/B5*100</f>
        <v>12.168136165368898</v>
      </c>
      <c r="C7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B4DF8-71A6-4BB1-AE10-1CB3D297C35D}">
  <sheetPr filterMode="1"/>
  <dimension ref="A3:B7"/>
  <sheetViews>
    <sheetView tabSelected="1" zoomScale="74" zoomScaleNormal="86" workbookViewId="0">
      <selection activeCell="A12" sqref="A12"/>
    </sheetView>
  </sheetViews>
  <sheetFormatPr defaultRowHeight="14.4"/>
  <cols>
    <col min="1" max="1" width="22" customWidth="1"/>
    <col min="2" max="2" width="12.44140625" bestFit="1" customWidth="1"/>
  </cols>
  <sheetData>
    <row r="3" spans="1:2">
      <c r="A3" s="17" t="s">
        <v>94</v>
      </c>
      <c r="B3" t="s">
        <v>97</v>
      </c>
    </row>
    <row r="4" spans="1:2">
      <c r="A4" s="18" t="s">
        <v>13</v>
      </c>
      <c r="B4" s="7">
        <v>1350.5</v>
      </c>
    </row>
    <row r="5" spans="1:2">
      <c r="A5" s="18" t="s">
        <v>18</v>
      </c>
      <c r="B5" s="7">
        <v>320</v>
      </c>
    </row>
    <row r="6" spans="1:2">
      <c r="A6" s="18" t="s">
        <v>22</v>
      </c>
      <c r="B6" s="7">
        <v>207</v>
      </c>
    </row>
    <row r="7" spans="1:2">
      <c r="A7" s="18" t="s">
        <v>95</v>
      </c>
      <c r="B7" s="7">
        <v>1877.5</v>
      </c>
    </row>
  </sheetData>
  <autoFilter ref="D1" xr:uid="{47FB4DF8-71A6-4BB1-AE10-1CB3D297C35D}">
    <filterColumn colId="0">
      <colorFilter dxfId="0"/>
    </filterColumn>
  </autoFilter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sales_data</vt:lpstr>
      <vt:lpstr>KPI_Summary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 Naresh kumar</cp:lastModifiedBy>
  <dcterms:created xsi:type="dcterms:W3CDTF">2026-06-04T14:38:44Z</dcterms:created>
  <dcterms:modified xsi:type="dcterms:W3CDTF">2026-06-05T14:01:58Z</dcterms:modified>
</cp:coreProperties>
</file>